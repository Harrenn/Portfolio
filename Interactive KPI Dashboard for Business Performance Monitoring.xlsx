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ee755e71afcfb1/Documents/"/>
    </mc:Choice>
  </mc:AlternateContent>
  <xr:revisionPtr revIDLastSave="2" documentId="8_{73749EDD-16F7-467D-85DF-8BBB0427FE6C}" xr6:coauthVersionLast="47" xr6:coauthVersionMax="47" xr10:uidLastSave="{6335269F-254B-48DA-B39C-E4F70F43073A}"/>
  <bookViews>
    <workbookView xWindow="-108" yWindow="-108" windowWidth="23256" windowHeight="13176" activeTab="3" xr2:uid="{D74E22B6-07E0-435F-86B2-4CF2F6FCF2C8}"/>
  </bookViews>
  <sheets>
    <sheet name="Dashboard.xlsx - Data" sheetId="1" r:id="rId1"/>
    <sheet name="Payroll Clients Names" sheetId="6" r:id="rId2"/>
    <sheet name="Business Services Clients" sheetId="4" r:id="rId3"/>
    <sheet name="Dashboard" sheetId="2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2" l="1" a="1"/>
  <c r="S8" i="2" s="1"/>
  <c r="S9" i="2" a="1"/>
  <c r="S9" i="2" s="1"/>
  <c r="S10" i="2" a="1"/>
  <c r="S10" i="2" s="1"/>
  <c r="S11" i="2" a="1"/>
  <c r="S11" i="2" s="1"/>
  <c r="S12" i="2" a="1"/>
  <c r="S12" i="2" s="1"/>
  <c r="S13" i="2" a="1"/>
  <c r="S13" i="2" s="1"/>
  <c r="S14" i="2" a="1"/>
  <c r="S14" i="2" s="1"/>
  <c r="S15" i="2" a="1"/>
  <c r="S15" i="2" s="1"/>
  <c r="S16" i="2" a="1"/>
  <c r="S16" i="2" s="1"/>
  <c r="S17" i="2" a="1"/>
  <c r="S17" i="2" s="1"/>
  <c r="S18" i="2" a="1"/>
  <c r="S18" i="2" s="1"/>
  <c r="S19" i="2" a="1"/>
  <c r="S19" i="2" s="1"/>
  <c r="S20" i="2" a="1"/>
  <c r="S20" i="2" s="1"/>
  <c r="S21" i="2" a="1"/>
  <c r="S21" i="2" s="1"/>
  <c r="S22" i="2" a="1"/>
  <c r="S22" i="2" s="1"/>
  <c r="S23" i="2" a="1"/>
  <c r="S23" i="2" s="1"/>
  <c r="S5" i="2" a="1"/>
  <c r="S5" i="2" s="1"/>
  <c r="S6" i="2" a="1"/>
  <c r="S6" i="2" s="1"/>
  <c r="S7" i="2" a="1"/>
  <c r="S7" i="2" s="1"/>
  <c r="S4" i="2" a="1"/>
  <c r="S4" i="2" s="1"/>
  <c r="D24" i="1"/>
  <c r="D23" i="1"/>
  <c r="D22" i="1"/>
  <c r="D21" i="1"/>
  <c r="D20" i="1"/>
  <c r="D19" i="1"/>
  <c r="D18" i="1"/>
  <c r="D17" i="1"/>
  <c r="D16" i="1"/>
  <c r="D15" i="1"/>
  <c r="D14" i="1"/>
  <c r="D13" i="1"/>
  <c r="C24" i="1"/>
  <c r="C23" i="1"/>
  <c r="C22" i="1"/>
  <c r="C21" i="1"/>
  <c r="C20" i="1"/>
  <c r="C19" i="1"/>
  <c r="C18" i="1"/>
  <c r="C16" i="1"/>
  <c r="C17" i="1"/>
  <c r="C15" i="1"/>
  <c r="C14" i="1"/>
  <c r="C13" i="1"/>
  <c r="B6" i="1"/>
  <c r="D6" i="1" s="1"/>
  <c r="B5" i="1"/>
  <c r="D22" i="2"/>
  <c r="E4" i="1"/>
  <c r="E7" i="1"/>
  <c r="E9" i="1"/>
  <c r="E10" i="1"/>
  <c r="E5" i="1"/>
  <c r="D5" i="1"/>
  <c r="D7" i="1"/>
  <c r="D9" i="1"/>
  <c r="D10" i="1"/>
  <c r="D4" i="1"/>
  <c r="B22" i="2"/>
  <c r="F22" i="2"/>
  <c r="E6" i="1" l="1"/>
  <c r="B8" i="1"/>
  <c r="D8" i="1" s="1"/>
  <c r="E8" i="1"/>
  <c r="S25" i="2" a="1"/>
  <c r="S2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<sst xmlns="http://schemas.openxmlformats.org/spreadsheetml/2006/main" count="73" uniqueCount="41">
  <si>
    <t xml:space="preserve">Progress </t>
  </si>
  <si>
    <t xml:space="preserve">YTD </t>
  </si>
  <si>
    <t xml:space="preserve">Yearly Goal </t>
  </si>
  <si>
    <t xml:space="preserve">Progress (%) </t>
  </si>
  <si>
    <t>Total Revenue ($)</t>
  </si>
  <si>
    <t>Number of Google Reviews</t>
  </si>
  <si>
    <t>New Payroll Clients</t>
  </si>
  <si>
    <t>New Investment Assets ($)</t>
  </si>
  <si>
    <t>New Business Services Clients</t>
  </si>
  <si>
    <t>1040 Audit Protection Taken</t>
  </si>
  <si>
    <t>Business Audit Protection Taken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</si>
  <si>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</si>
  <si>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</si>
  <si>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</si>
  <si>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</si>
  <si>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</si>
  <si>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</si>
  <si>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</si>
  <si>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</si>
  <si>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</si>
  <si>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</si>
  <si>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</si>
  <si>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</si>
  <si>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</si>
  <si>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to Date</t>
  </si>
  <si>
    <t>Yearly Goal</t>
  </si>
  <si>
    <t>Progress</t>
  </si>
  <si>
    <t xml:space="preserve">View Data </t>
  </si>
  <si>
    <t>Dashboard Contents</t>
  </si>
  <si>
    <t>No. of Google Reviews</t>
  </si>
  <si>
    <t>John lloyd</t>
  </si>
  <si>
    <t>Sarah g</t>
  </si>
  <si>
    <t>Bini</t>
  </si>
  <si>
    <t>Maloi</t>
  </si>
  <si>
    <t>bini maloi</t>
  </si>
  <si>
    <t>Ahoy</t>
  </si>
  <si>
    <t>Angelica</t>
  </si>
  <si>
    <t>Olympics</t>
  </si>
  <si>
    <t>Two medal</t>
  </si>
  <si>
    <t>We</t>
  </si>
  <si>
    <t>Harrenn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</si>
</sst>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₱-3409]#,##0.0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 (Body)"/>
    </font>
    <font>
      <b/>
      <sz val="9"/>
      <color theme="1"/>
      <name val="Aptos Narrow (Body)"/>
    </font>
    <font>
      <sz val="9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BDCB"/>
        <bgColor indexed="64"/>
      </patternFill>
    </fill>
    <fill>
      <patternFill patternType="solid">
        <fgColor rgb="FFD5E1E7"/>
        <bgColor indexed="64"/>
      </patternFill>
    </fill>
    <fill>
      <patternFill patternType="solid">
        <fgColor rgb="FF5E8AA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21" fillId="0" borderId="0" xfId="0" applyFont="1"/>
    <xf numFmtId="0" fontId="21" fillId="35" borderId="0" xfId="0" applyFont="1" applyFill="1"/>
    <xf numFmtId="0" fontId="21" fillId="33" borderId="0" xfId="0" applyFont="1" applyFill="1"/>
    <xf numFmtId="0" fontId="21" fillId="34" borderId="0" xfId="0" applyFont="1" applyFill="1"/>
    <xf numFmtId="0" fontId="21" fillId="0" borderId="0" xfId="0" applyFont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10" fontId="19" fillId="34" borderId="11" xfId="0" applyNumberFormat="1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5E8AA2"/>
      <color rgb="FFD5E1E7"/>
      <color rgb="FFA5BDCB"/>
      <color rgb="FF3C5868"/>
      <color rgb="FF4C7084"/>
      <color rgb="FF608C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520967646075915"/>
          <c:y val="0.12801350495437838"/>
          <c:w val="0.54058660303770478"/>
          <c:h val="0.8719864950456216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'Dashboard.xlsx - Data'!$A$4:$A$10</c:f>
              <c:strCache>
                <c:ptCount val="7"/>
                <c:pt idx="0">
                  <c:v>Total Revenue ($)</c:v>
                </c:pt>
                <c:pt idx="1">
                  <c:v>Number of Google Reviews</c:v>
                </c:pt>
                <c:pt idx="2">
                  <c:v>New Payroll Clients</c:v>
                </c:pt>
                <c:pt idx="3">
                  <c:v>New Investment Assets ($)</c:v>
                </c:pt>
                <c:pt idx="4">
                  <c:v>New Business Services Clients</c:v>
                </c:pt>
                <c:pt idx="5">
                  <c:v>1040 Audit Protection Taken</c:v>
                </c:pt>
                <c:pt idx="6">
                  <c:v>Business Audit Protection Taken</c:v>
                </c:pt>
              </c:strCache>
            </c:strRef>
          </c:cat>
          <c:val>
            <c:numRef>
              <c:f>'Dashboard.xlsx - Data'!$B$4:$B$10</c:f>
              <c:numCache>
                <c:formatCode>General</c:formatCode>
                <c:ptCount val="7"/>
                <c:pt idx="0" formatCode="[$₱-3409]#,##0.00">
                  <c:v>0</c:v>
                </c:pt>
                <c:pt idx="1">
                  <c:v>9</c:v>
                </c:pt>
                <c:pt idx="2">
                  <c:v>5</c:v>
                </c:pt>
                <c:pt idx="3" formatCode="[$₱-3409]#,##0.00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B-4540-B11A-8E35F111409D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'Dashboard.xlsx - Data'!$A$4:$A$10</c:f>
              <c:strCache>
                <c:ptCount val="7"/>
                <c:pt idx="0">
                  <c:v>Total Revenue ($)</c:v>
                </c:pt>
                <c:pt idx="1">
                  <c:v>Number of Google Reviews</c:v>
                </c:pt>
                <c:pt idx="2">
                  <c:v>New Payroll Clients</c:v>
                </c:pt>
                <c:pt idx="3">
                  <c:v>New Investment Assets ($)</c:v>
                </c:pt>
                <c:pt idx="4">
                  <c:v>New Business Services Clients</c:v>
                </c:pt>
                <c:pt idx="5">
                  <c:v>1040 Audit Protection Taken</c:v>
                </c:pt>
                <c:pt idx="6">
                  <c:v>Business Audit Protection Taken</c:v>
                </c:pt>
              </c:strCache>
            </c:strRef>
          </c:cat>
          <c:val>
            <c:numRef>
              <c:f>'Dashboard.xlsx - Data'!$E$4:$E$10</c:f>
              <c:numCache>
                <c:formatCode>General</c:formatCode>
                <c:ptCount val="7"/>
                <c:pt idx="0">
                  <c:v>1000000</c:v>
                </c:pt>
                <c:pt idx="1">
                  <c:v>1</c:v>
                </c:pt>
                <c:pt idx="2">
                  <c:v>5</c:v>
                </c:pt>
                <c:pt idx="3">
                  <c:v>1000000</c:v>
                </c:pt>
                <c:pt idx="4">
                  <c:v>5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B-4540-B11A-8E35F11140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6541647"/>
        <c:axId val="206540687"/>
      </c:barChart>
      <c:catAx>
        <c:axId val="2065416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0687"/>
        <c:crosses val="autoZero"/>
        <c:auto val="1"/>
        <c:lblAlgn val="ctr"/>
        <c:lblOffset val="100"/>
        <c:noMultiLvlLbl val="0"/>
      </c:catAx>
      <c:valAx>
        <c:axId val="206540687"/>
        <c:scaling>
          <c:orientation val="minMax"/>
        </c:scaling>
        <c:delete val="0"/>
        <c:axPos val="t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691914864440122E-2"/>
          <c:y val="5.2757788783984898E-2"/>
          <c:w val="0.9402640995612338"/>
          <c:h val="0.85095950632003003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'Dashboard.xlsx - Data'!$A$13:$A$24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'Dashboard.xlsx - Data'!$B$13:$B$24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3-46D9-9F08-914EA737A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92543"/>
        <c:axId val="201299743"/>
      </c:lineChart>
      <c:catAx>
        <c:axId val="20129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9743"/>
        <c:crosses val="autoZero"/>
        <c:auto val="1"/>
        <c:lblAlgn val="ctr"/>
        <c:lblOffset val="100"/>
        <c:noMultiLvlLbl val="0"/>
      </c:catAx>
      <c:valAx>
        <c:axId val="20129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691914864440122E-2"/>
          <c:y val="5.2757788783984898E-2"/>
          <c:w val="0.9402640995612338"/>
          <c:h val="0.85095950632003003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'Dashboard.xlsx - Data'!$A$13:$A$24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'Dashboard.xlsx - Data'!$C$13:$C$24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6AB-4581-A2B8-61581A927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92543"/>
        <c:axId val="201299743"/>
      </c:lineChart>
      <c:catAx>
        <c:axId val="20129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9743"/>
        <c:crosses val="autoZero"/>
        <c:auto val="1"/>
        <c:lblAlgn val="ctr"/>
        <c:lblOffset val="100"/>
        <c:noMultiLvlLbl val="0"/>
      </c:catAx>
      <c:valAx>
        <c:axId val="20129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691914864440122E-2"/>
          <c:y val="5.2757788783984898E-2"/>
          <c:w val="0.9402640995612338"/>
          <c:h val="0.85095950632003003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'Dashboard.xlsx - Data'!$A$13:$A$24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'Dashboard.xlsx - Data'!$D$13:$D$24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0-4D75-8F79-7DEFBBCD3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92543"/>
        <c:axId val="201299743"/>
      </c:lineChart>
      <c:catAx>
        <c:axId val="20129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9743"/>
        <c:crosses val="autoZero"/>
        <c:auto val="1"/>
        <c:lblAlgn val="ctr"/>
        <c:lblOffset val="100"/>
        <c:noMultiLvlLbl val="0"/>
      </c:catAx>
      <c:valAx>
        <c:axId val="20129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82062</xdr:colOff>
      <xdr:row>0</xdr:row>
      <xdr:rowOff>41032</xdr:rowOff>
    </xdr:from>
    <xdr:to>
      <xdr:col>7</xdr:col>
      <xdr:colOff>375138</xdr:colOff>
      <xdr:row>25</xdr:row>
      <xdr:rowOff>155097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962C204-1CD7-478E-719C-E7E55EC87BE4}"/>
            </a:ext>
          </a:extLst>
        </xdr:cNvPr>
        <xdr:cNvSpPr/>
      </xdr:nvSpPr>
      <xdr:spPr>
        <a:xfrm>
          <a:off x="82062" y="41032"/>
          <a:ext cx="4541395" cy="4665835"/>
        </a:xfrm>
        <a:prstGeom prst="round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  <a:effectLst>
          <a:outerShdw blurRad="50800" dist="38100" dir="5400000" algn="t" rotWithShape="0">
            <a:schemeClr val="tx2">
              <a:lumMod val="90000"/>
              <a:lumOff val="1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277666</xdr:colOff>
      <xdr:row>1</xdr:row>
      <xdr:rowOff>164123</xdr:rowOff>
    </xdr:from>
    <xdr:to>
      <xdr:col>7</xdr:col>
      <xdr:colOff>134815</xdr:colOff>
      <xdr:row>18</xdr:row>
      <xdr:rowOff>87664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F3FD4E-F12A-4046-8DA3-583680AB7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433754</xdr:colOff>
      <xdr:row>0</xdr:row>
      <xdr:rowOff>64480</xdr:rowOff>
    </xdr:from>
    <xdr:to>
      <xdr:col>17</xdr:col>
      <xdr:colOff>298938</xdr:colOff>
      <xdr:row>7</xdr:row>
      <xdr:rowOff>82064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6DA45BB-4D50-9345-F7B5-440AC6C6E5B3}"/>
            </a:ext>
          </a:extLst>
        </xdr:cNvPr>
        <xdr:cNvSpPr/>
      </xdr:nvSpPr>
      <xdr:spPr>
        <a:xfrm>
          <a:off x="4700954" y="64480"/>
          <a:ext cx="5961184" cy="1289538"/>
        </a:xfrm>
        <a:prstGeom prst="round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35169</xdr:colOff>
      <xdr:row>1</xdr:row>
      <xdr:rowOff>82062</xdr:rowOff>
    </xdr:from>
    <xdr:to>
      <xdr:col>17</xdr:col>
      <xdr:colOff>345824</xdr:colOff>
      <xdr:row>7</xdr:row>
      <xdr:rowOff>59225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8DFB8ED-EF95-440D-A6DB-BA6695521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5861</xdr:colOff>
      <xdr:row>0</xdr:row>
      <xdr:rowOff>93783</xdr:rowOff>
    </xdr:from>
    <xdr:to>
      <xdr:col>4</xdr:col>
      <xdr:colOff>550984</xdr:colOff>
      <xdr:row>1</xdr:row>
      <xdr:rowOff>140675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D3A75D8-0FA8-60B3-F52D-67F820DE850B}"/>
            </a:ext>
          </a:extLst>
        </xdr:cNvPr>
        <xdr:cNvSpPr txBox="1"/>
      </xdr:nvSpPr>
      <xdr:spPr>
        <a:xfrm>
          <a:off x="1834661" y="93783"/>
          <a:ext cx="1154723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PROGRESS</a:t>
          </a:r>
        </a:p>
      </xdr:txBody>
    </xdr:sp>
    <xdr:clientData/>
  </xdr:twoCellAnchor>
  <xdr:twoCellAnchor>
    <xdr:from>
      <xdr:col>11</xdr:col>
      <xdr:colOff>316522</xdr:colOff>
      <xdr:row>0</xdr:row>
      <xdr:rowOff>58616</xdr:rowOff>
    </xdr:from>
    <xdr:to>
      <xdr:col>14</xdr:col>
      <xdr:colOff>82060</xdr:colOff>
      <xdr:row>1</xdr:row>
      <xdr:rowOff>105508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12A38D2-DE83-4CBF-8419-F3F0ED9BE139}"/>
            </a:ext>
          </a:extLst>
        </xdr:cNvPr>
        <xdr:cNvSpPr txBox="1"/>
      </xdr:nvSpPr>
      <xdr:spPr>
        <a:xfrm>
          <a:off x="7022122" y="58616"/>
          <a:ext cx="1594338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/>
            <a:t>No.</a:t>
          </a:r>
          <a:r>
            <a:rPr lang="en-US" sz="1050" b="1" baseline="0"/>
            <a:t> of Google Reviews</a:t>
          </a:r>
          <a:endParaRPr lang="en-US" sz="1050" b="1"/>
        </a:p>
      </xdr:txBody>
    </xdr:sp>
    <xdr:clientData/>
  </xdr:twoCellAnchor>
  <xdr:twoCellAnchor>
    <xdr:from>
      <xdr:col>7</xdr:col>
      <xdr:colOff>457200</xdr:colOff>
      <xdr:row>7</xdr:row>
      <xdr:rowOff>158264</xdr:rowOff>
    </xdr:from>
    <xdr:to>
      <xdr:col>17</xdr:col>
      <xdr:colOff>304794</xdr:colOff>
      <xdr:row>14</xdr:row>
      <xdr:rowOff>175848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05EF8DA-1805-9D0B-83C2-22E1E36DD579}"/>
            </a:ext>
          </a:extLst>
        </xdr:cNvPr>
        <xdr:cNvSpPr/>
      </xdr:nvSpPr>
      <xdr:spPr>
        <a:xfrm>
          <a:off x="4724400" y="1430218"/>
          <a:ext cx="5943594" cy="1289538"/>
        </a:xfrm>
        <a:prstGeom prst="round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451337</xdr:colOff>
      <xdr:row>15</xdr:row>
      <xdr:rowOff>82062</xdr:rowOff>
    </xdr:from>
    <xdr:to>
      <xdr:col>17</xdr:col>
      <xdr:colOff>298932</xdr:colOff>
      <xdr:row>22</xdr:row>
      <xdr:rowOff>99646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6CBB59D-8A87-DAE6-ABE1-5490F6C4B93E}"/>
            </a:ext>
          </a:extLst>
        </xdr:cNvPr>
        <xdr:cNvSpPr/>
      </xdr:nvSpPr>
      <xdr:spPr>
        <a:xfrm>
          <a:off x="4699656" y="2813124"/>
          <a:ext cx="5916621" cy="1292080"/>
        </a:xfrm>
        <a:prstGeom prst="round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287215</xdr:colOff>
      <xdr:row>7</xdr:row>
      <xdr:rowOff>164126</xdr:rowOff>
    </xdr:from>
    <xdr:to>
      <xdr:col>14</xdr:col>
      <xdr:colOff>52753</xdr:colOff>
      <xdr:row>9</xdr:row>
      <xdr:rowOff>29311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27597B6-FA3C-FA10-9BB1-A67BCB52A563}"/>
            </a:ext>
          </a:extLst>
        </xdr:cNvPr>
        <xdr:cNvSpPr txBox="1"/>
      </xdr:nvSpPr>
      <xdr:spPr>
        <a:xfrm>
          <a:off x="6992815" y="1436080"/>
          <a:ext cx="1594338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/>
            <a:t>New Payroll</a:t>
          </a:r>
          <a:r>
            <a:rPr lang="en-US" sz="1050" b="1" baseline="0"/>
            <a:t> Clients</a:t>
          </a:r>
          <a:endParaRPr lang="en-US" sz="1050" b="1"/>
        </a:p>
      </xdr:txBody>
    </xdr:sp>
    <xdr:clientData/>
  </xdr:twoCellAnchor>
  <xdr:twoCellAnchor>
    <xdr:from>
      <xdr:col>11</xdr:col>
      <xdr:colOff>152398</xdr:colOff>
      <xdr:row>15</xdr:row>
      <xdr:rowOff>93787</xdr:rowOff>
    </xdr:from>
    <xdr:to>
      <xdr:col>14</xdr:col>
      <xdr:colOff>187567</xdr:colOff>
      <xdr:row>16</xdr:row>
      <xdr:rowOff>140679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A2CF6CC-5E21-6D89-B199-3841FD46C096}"/>
            </a:ext>
          </a:extLst>
        </xdr:cNvPr>
        <xdr:cNvSpPr txBox="1"/>
      </xdr:nvSpPr>
      <xdr:spPr>
        <a:xfrm>
          <a:off x="6857998" y="2819402"/>
          <a:ext cx="1863969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/>
            <a:t>New Business</a:t>
          </a:r>
          <a:r>
            <a:rPr lang="en-US" sz="1050" b="1" baseline="0"/>
            <a:t> Service Clients</a:t>
          </a:r>
          <a:endParaRPr lang="en-US" sz="1050" b="1"/>
        </a:p>
      </xdr:txBody>
    </xdr:sp>
    <xdr:clientData/>
  </xdr:twoCellAnchor>
  <xdr:twoCellAnchor>
    <xdr:from>
      <xdr:col>2</xdr:col>
      <xdr:colOff>334108</xdr:colOff>
      <xdr:row>19</xdr:row>
      <xdr:rowOff>29308</xdr:rowOff>
    </xdr:from>
    <xdr:to>
      <xdr:col>2</xdr:col>
      <xdr:colOff>539261</xdr:colOff>
      <xdr:row>19</xdr:row>
      <xdr:rowOff>169985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07CEE434-D21E-D453-D772-580875CC9A44}"/>
            </a:ext>
          </a:extLst>
        </xdr:cNvPr>
        <xdr:cNvSpPr/>
      </xdr:nvSpPr>
      <xdr:spPr>
        <a:xfrm>
          <a:off x="1553308" y="2391508"/>
          <a:ext cx="205153" cy="140677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58616</xdr:colOff>
      <xdr:row>8</xdr:row>
      <xdr:rowOff>146539</xdr:rowOff>
    </xdr:from>
    <xdr:to>
      <xdr:col>17</xdr:col>
      <xdr:colOff>369271</xdr:colOff>
      <xdr:row>14</xdr:row>
      <xdr:rowOff>123702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52F95F4-82CB-122A-7C49-716B1ED91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64480</xdr:colOff>
      <xdr:row>16</xdr:row>
      <xdr:rowOff>93785</xdr:rowOff>
    </xdr:from>
    <xdr:to>
      <xdr:col>17</xdr:col>
      <xdr:colOff>375135</xdr:colOff>
      <xdr:row>22</xdr:row>
      <xdr:rowOff>70948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AD75B46-3AD8-9B5E-3BB0-9BA13128B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364141</xdr:colOff>
      <xdr:row>0</xdr:row>
      <xdr:rowOff>53948</xdr:rowOff>
    </xdr:from>
    <xdr:to>
      <xdr:col>19</xdr:col>
      <xdr:colOff>114637</xdr:colOff>
      <xdr:row>25</xdr:row>
      <xdr:rowOff>128124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1FDF9EC-4964-4E3A-EDD8-04CC60C20F4C}"/>
            </a:ext>
          </a:extLst>
        </xdr:cNvPr>
        <xdr:cNvSpPr/>
      </xdr:nvSpPr>
      <xdr:spPr>
        <a:xfrm>
          <a:off x="10681486" y="53948"/>
          <a:ext cx="1753275" cy="4625946"/>
        </a:xfrm>
        <a:prstGeom prst="round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EE462-9E1B-40F8-A79A-9BB4876E719C}" name="Table1" displayName="Table1" ref="A3:D10" totalsRowShown="0" headerRowDxfId="11" dataDxfId="10">
  <autoFilter ref="A3:D10" xr:uid="{B7DEE462-9E1B-40F8-A79A-9BB4876E719C}"/>
  <tableColumns count="4">
    <tableColumn id="1" xr3:uid="{35BF8134-E391-476A-A5AB-079642E0617C}" name="Progress " dataDxfId="9"/>
    <tableColumn id="2" xr3:uid="{57C93DB4-1EAE-4129-BB1C-0AEA81E50752}" name="YTD " dataDxfId="8"/>
    <tableColumn id="3" xr3:uid="{39BC3A80-54E6-4DBB-A48D-AD624FD5BED9}" name="Yearly Goal " dataDxfId="7"/>
    <tableColumn id="4" xr3:uid="{BD49EDD8-B775-4AE1-93D4-3940952EDEFE}" name="Progress (%) " dataDxfId="6">
      <calculatedColumnFormula>Table1[[#This Row],[YTD ]]/Table1[[#This Row],[Yearly Goal 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E08C88-432D-45E8-A875-D3310E5D74DB}" name="Table2" displayName="Table2" ref="A12:D24" totalsRowShown="0" headerRowDxfId="5" dataDxfId="4">
  <autoFilter ref="A12:D24" xr:uid="{FDE08C88-432D-45E8-A875-D3310E5D74DB}"/>
  <tableColumns count="4">
    <tableColumn id="1" xr3:uid="{85CEC34E-8552-4B61-9B42-9292BDE754ED}" name="Month" dataDxfId="3"/>
    <tableColumn id="2" xr3:uid="{2FE8EFEB-DD36-4493-8BF9-418D3132DC8B}" name="Number of Google Reviews" dataDxfId="2"/>
    <tableColumn id="3" xr3:uid="{94CE93C6-F695-4F63-A3AC-DC971F10CA99}" name="New Payroll Clients" dataDxfId="1">
      <calculatedColumnFormula>COUNTA('Payroll Clients Names'!$A:$A) - 1</calculatedColumnFormula>
    </tableColumn>
    <tableColumn id="4" xr3:uid="{2FF83527-399E-4DB9-A9D3-C4AF32220187}" name="New Business Services Client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FF2E-2C9C-4D78-9184-899983CB7FC1}">
  <dimension ref="A3:E29"/>
  <sheetViews>
    <sheetView zoomScale="115" zoomScaleNormal="115" workbookViewId="0">
      <selection activeCell="F10" sqref="F10"/>
    </sheetView>
  </sheetViews>
  <sheetFormatPr defaultRowHeight="14.4"/>
  <cols>
    <col min="1" max="1" width="28.44140625" style="1" customWidth="1"/>
    <col min="2" max="2" width="29" style="1" customWidth="1"/>
    <col min="3" max="3" width="26.21875" style="1" customWidth="1"/>
    <col min="4" max="4" width="27.109375" style="1" customWidth="1"/>
    <col min="5" max="5" width="21.109375" style="1" customWidth="1"/>
    <col min="6" max="6" width="14.21875" style="1" customWidth="1"/>
    <col min="7" max="16384" width="8.88671875" style="1"/>
  </cols>
  <sheetData>
    <row r="3" spans="1:5">
      <c r="A3" s="1" t="s">
        <v>0</v>
      </c>
      <c r="B3" s="1" t="s">
        <v>1</v>
      </c>
      <c r="C3" s="1" t="s">
        <v>2</v>
      </c>
      <c r="D3" s="1" t="s">
        <v>3</v>
      </c>
      <c r="E3" s="4"/>
    </row>
    <row r="4" spans="1:5">
      <c r="A4" s="1" t="s">
        <v>4</v>
      </c>
      <c r="B4" s="3">
        <v>0</v>
      </c>
      <c r="C4" s="3">
        <v>1000000</v>
      </c>
      <c r="D4" s="2">
        <f>Table1[[#This Row],[YTD ]]/Table1[[#This Row],[Yearly Goal ]]</f>
        <v>0</v>
      </c>
      <c r="E4" s="4">
        <f>Table1[[#This Row],[Yearly Goal ]]-Table1[[#This Row],[YTD ]]</f>
        <v>1000000</v>
      </c>
    </row>
    <row r="5" spans="1:5">
      <c r="A5" s="1" t="s">
        <v>5</v>
      </c>
      <c r="B5" s="1">
        <f>SUM(Table2[Number of Google Reviews])</f>
        <v>9</v>
      </c>
      <c r="C5" s="1">
        <v>10</v>
      </c>
      <c r="D5" s="2">
        <f>Table1[[#This Row],[YTD ]]/Table1[[#This Row],[Yearly Goal ]]</f>
        <v>0.9</v>
      </c>
      <c r="E5" s="4">
        <f>Table1[[#This Row],[Yearly Goal ]]-Table1[[#This Row],[YTD ]]</f>
        <v>1</v>
      </c>
    </row>
    <row r="6" spans="1:5">
      <c r="A6" s="1" t="s">
        <v>6</v>
      </c>
      <c r="B6" s="1">
        <f>SUM(Table2[New Payroll Clients])</f>
        <v>5</v>
      </c>
      <c r="C6" s="1">
        <v>10</v>
      </c>
      <c r="D6" s="2">
        <f>Table1[[#This Row],[YTD ]]/Table1[[#This Row],[Yearly Goal ]]</f>
        <v>0.5</v>
      </c>
      <c r="E6" s="4">
        <f>Table1[[#This Row],[Yearly Goal ]]-Table1[[#This Row],[YTD ]]</f>
        <v>5</v>
      </c>
    </row>
    <row r="7" spans="1:5">
      <c r="A7" s="1" t="s">
        <v>7</v>
      </c>
      <c r="B7" s="3">
        <v>0</v>
      </c>
      <c r="C7" s="3">
        <v>1000000</v>
      </c>
      <c r="D7" s="2">
        <f>Table1[[#This Row],[YTD ]]/Table1[[#This Row],[Yearly Goal ]]</f>
        <v>0</v>
      </c>
      <c r="E7" s="4">
        <f>Table1[[#This Row],[Yearly Goal ]]-Table1[[#This Row],[YTD ]]</f>
        <v>1000000</v>
      </c>
    </row>
    <row r="8" spans="1:5">
      <c r="A8" s="1" t="s">
        <v>8</v>
      </c>
      <c r="B8" s="1">
        <f>SUM(Table2[New Business Services Clients])</f>
        <v>5</v>
      </c>
      <c r="C8" s="1">
        <v>10</v>
      </c>
      <c r="D8" s="2">
        <f>Table1[[#This Row],[YTD ]]/Table1[[#This Row],[Yearly Goal ]]</f>
        <v>0.5</v>
      </c>
      <c r="E8" s="4">
        <f>Table1[[#This Row],[Yearly Goal ]]-Table1[[#This Row],[YTD ]]</f>
        <v>5</v>
      </c>
    </row>
    <row r="9" spans="1:5">
      <c r="A9" s="1" t="s">
        <v>9</v>
      </c>
      <c r="B9" s="1">
        <v>0</v>
      </c>
      <c r="C9" s="1">
        <v>100</v>
      </c>
      <c r="D9" s="2">
        <f>Table1[[#This Row],[YTD ]]/Table1[[#This Row],[Yearly Goal ]]</f>
        <v>0</v>
      </c>
      <c r="E9" s="4">
        <f>Table1[[#This Row],[Yearly Goal ]]-Table1[[#This Row],[YTD ]]</f>
        <v>100</v>
      </c>
    </row>
    <row r="10" spans="1:5">
      <c r="A10" s="1" t="s">
        <v>10</v>
      </c>
      <c r="B10" s="1">
        <v>0</v>
      </c>
      <c r="C10" s="1">
        <v>100</v>
      </c>
      <c r="D10" s="2">
        <f>Table1[[#This Row],[YTD ]]/Table1[[#This Row],[Yearly Goal ]]</f>
        <v>0</v>
      </c>
      <c r="E10" s="4">
        <f>Table1[[#This Row],[Yearly Goal ]]-Table1[[#This Row],[YTD ]]</f>
        <v>100</v>
      </c>
    </row>
    <row r="12" spans="1:5">
      <c r="A12" s="1" t="s">
        <v>11</v>
      </c>
      <c r="B12" s="1" t="s">
        <v>5</v>
      </c>
      <c r="C12" s="1" t="s">
        <v>6</v>
      </c>
      <c r="D12" s="1" t="s">
        <v>8</v>
      </c>
    </row>
    <row r="13" spans="1:5">
      <c r="A13" s="1" t="s">
        <v>12</v>
      </c>
      <c r="B13" s="1">
        <v>1</v>
      </c>
      <c r="C13" s="1">
        <f>COUNTA('Payroll Clients Names'!A:A) - 1</f>
        <v>4</v>
      </c>
      <c r="D13" s="1">
        <f>COUNTA('Business Services Clients'!$A:$A) - 1</f>
        <v>3</v>
      </c>
    </row>
    <row r="14" spans="1:5">
      <c r="A14" s="1" t="s">
        <v>13</v>
      </c>
      <c r="B14" s="1">
        <v>2</v>
      </c>
      <c r="C14" s="1">
        <f>COUNTA('Payroll Clients Names'!B:B)-1</f>
        <v>1</v>
      </c>
      <c r="D14" s="1">
        <f>COUNTA('Business Services Clients'!$B:$B)-1</f>
        <v>1</v>
      </c>
    </row>
    <row r="15" spans="1:5">
      <c r="A15" s="1" t="s">
        <v>14</v>
      </c>
      <c r="B15" s="1">
        <v>1</v>
      </c>
      <c r="C15" s="1">
        <f>COUNTA('Payroll Clients Names'!C:C)-1</f>
        <v>0</v>
      </c>
      <c r="D15" s="1">
        <f>COUNTA('Business Services Clients'!$C:$C)-1</f>
        <v>0</v>
      </c>
    </row>
    <row r="16" spans="1:5">
      <c r="A16" s="1" t="s">
        <v>15</v>
      </c>
      <c r="B16" s="1">
        <v>1</v>
      </c>
      <c r="C16" s="1">
        <f>COUNTA('Payroll Clients Names'!D:D)-1</f>
        <v>0</v>
      </c>
      <c r="D16" s="1">
        <f>COUNTA('Business Services Clients'!$D:$D)-1</f>
        <v>0</v>
      </c>
    </row>
    <row r="17" spans="1:4">
      <c r="A17" s="1" t="s">
        <v>16</v>
      </c>
      <c r="B17" s="1">
        <v>1</v>
      </c>
      <c r="C17" s="1">
        <f>COUNTA('Payroll Clients Names'!E:E)-1</f>
        <v>0</v>
      </c>
      <c r="D17" s="1">
        <f>COUNTA('Business Services Clients'!$E:$E)-1</f>
        <v>0</v>
      </c>
    </row>
    <row r="18" spans="1:4">
      <c r="A18" s="1" t="s">
        <v>17</v>
      </c>
      <c r="B18" s="1">
        <v>1</v>
      </c>
      <c r="C18" s="1">
        <f>COUNTA('Payroll Clients Names'!F:F)-1</f>
        <v>0</v>
      </c>
      <c r="D18" s="1">
        <f>COUNTA('Business Services Clients'!$F:$F)-1</f>
        <v>1</v>
      </c>
    </row>
    <row r="19" spans="1:4">
      <c r="A19" s="1" t="s">
        <v>18</v>
      </c>
      <c r="B19" s="1">
        <v>1</v>
      </c>
      <c r="C19" s="1">
        <f>COUNTA('Payroll Clients Names'!G:G)-1</f>
        <v>0</v>
      </c>
      <c r="D19" s="1">
        <f>COUNTA('Business Services Clients'!$G:$G)-1</f>
        <v>0</v>
      </c>
    </row>
    <row r="20" spans="1:4">
      <c r="A20" s="1" t="s">
        <v>19</v>
      </c>
      <c r="B20" s="1">
        <v>1</v>
      </c>
      <c r="C20" s="1">
        <f>COUNTA('Payroll Clients Names'!$H:$H)-1</f>
        <v>0</v>
      </c>
      <c r="D20" s="1">
        <f>COUNTA('Business Services Clients'!$H:$H)-1</f>
        <v>0</v>
      </c>
    </row>
    <row r="21" spans="1:4">
      <c r="A21" s="1" t="s">
        <v>20</v>
      </c>
      <c r="B21" s="1">
        <v>0</v>
      </c>
      <c r="C21" s="1">
        <f>COUNTA('Payroll Clients Names'!$I:$I)-1</f>
        <v>0</v>
      </c>
      <c r="D21" s="1">
        <f>COUNTA('Business Services Clients'!$I:$I)-1</f>
        <v>0</v>
      </c>
    </row>
    <row r="22" spans="1:4">
      <c r="A22" s="1" t="s">
        <v>21</v>
      </c>
      <c r="B22" s="1">
        <v>0</v>
      </c>
      <c r="C22" s="1">
        <f>COUNTA('Payroll Clients Names'!$J:$J)-1</f>
        <v>0</v>
      </c>
      <c r="D22" s="1">
        <f>COUNTA('Business Services Clients'!$J:$J)-1</f>
        <v>0</v>
      </c>
    </row>
    <row r="23" spans="1:4">
      <c r="A23" s="1" t="s">
        <v>22</v>
      </c>
      <c r="B23" s="1">
        <v>0</v>
      </c>
      <c r="C23" s="1">
        <f>COUNTA('Payroll Clients Names'!$K:$K)-1</f>
        <v>0</v>
      </c>
      <c r="D23" s="1">
        <f>COUNTA('Business Services Clients'!$K:$K)-1</f>
        <v>0</v>
      </c>
    </row>
    <row r="24" spans="1:4">
      <c r="A24" s="1" t="s">
        <v>23</v>
      </c>
      <c r="B24" s="1">
        <v>0</v>
      </c>
      <c r="C24" s="1">
        <f>COUNTA('Payroll Clients Names'!$L:$L)-1</f>
        <v>0</v>
      </c>
      <c r="D24" s="1">
        <f>COUNTA('Business Services Clients'!$L:$L)-1</f>
        <v>0</v>
      </c>
    </row>
    <row r="25" spans="1:4">
      <c r="B25"/>
    </row>
    <row r="26" spans="1:4">
      <c r="A26" s="8" t="s">
        <v>28</v>
      </c>
    </row>
    <row r="27" spans="1:4">
      <c r="A27" s="7" t="s">
        <v>29</v>
      </c>
    </row>
    <row r="28" spans="1:4">
      <c r="A28" s="7" t="s">
        <v>6</v>
      </c>
    </row>
    <row r="29" spans="1:4">
      <c r="A29" s="7" t="s">
        <v>8</v>
      </c>
    </row>
  </sheetData>
  <phoneticPr fontId="18" type="noConversion"/>
  <pageMargins left="0.7" right="0.7" top="0.75" bottom="0.75" header="0.3" footer="0.3"/>
  <ignoredErrors>
    <ignoredError sqref="C13:C24" calculatedColumn="1"/>
  </ignoredErrors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7D46-79D3-4FCC-9C86-F32478DBCF71}">
  <dimension ref="A1:L5"/>
  <sheetViews>
    <sheetView workbookViewId="0">
      <selection activeCell="H16" sqref="H16"/>
    </sheetView>
  </sheetViews>
  <sheetFormatPr defaultRowHeight="14.4"/>
  <cols>
    <col min="2" max="2" width="11" customWidth="1"/>
    <col min="12" max="12" width="13.109375" customWidth="1"/>
  </cols>
  <sheetData>
    <row r="1" spans="1:12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</row>
    <row r="2" spans="1:12">
      <c r="A2" t="s">
        <v>30</v>
      </c>
      <c r="B2" t="s">
        <v>38</v>
      </c>
    </row>
    <row r="3" spans="1:12">
      <c r="A3" t="s">
        <v>31</v>
      </c>
    </row>
    <row r="4" spans="1:12">
      <c r="A4" t="s">
        <v>32</v>
      </c>
    </row>
    <row r="5" spans="1:12">
      <c r="A5" t="s">
        <v>34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9005-708B-4CAE-8883-CB145B2AD9A1}">
  <dimension ref="A1:L13"/>
  <sheetViews>
    <sheetView workbookViewId="0">
      <selection activeCell="G4" sqref="G4"/>
    </sheetView>
  </sheetViews>
  <sheetFormatPr defaultRowHeight="14.4"/>
  <cols>
    <col min="1" max="1" width="11" customWidth="1"/>
    <col min="2" max="2" width="21" customWidth="1"/>
  </cols>
  <sheetData>
    <row r="1" spans="1:12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</row>
    <row r="2" spans="1:12">
      <c r="A2" s="1" t="s">
        <v>33</v>
      </c>
      <c r="B2" s="1" t="s">
        <v>37</v>
      </c>
      <c r="F2" t="s">
        <v>39</v>
      </c>
    </row>
    <row r="3" spans="1:12">
      <c r="A3" s="1" t="s">
        <v>35</v>
      </c>
      <c r="B3" s="1"/>
    </row>
    <row r="4" spans="1:12">
      <c r="A4" s="1" t="s">
        <v>36</v>
      </c>
      <c r="B4" s="1"/>
    </row>
    <row r="5" spans="1:12">
      <c r="A5" s="1"/>
      <c r="B5" s="1"/>
    </row>
    <row r="6" spans="1:12">
      <c r="A6" s="1"/>
      <c r="B6" s="1"/>
    </row>
    <row r="7" spans="1:12">
      <c r="A7" s="1"/>
      <c r="B7" s="1"/>
    </row>
    <row r="8" spans="1:12">
      <c r="A8" s="1"/>
      <c r="B8" s="1"/>
    </row>
    <row r="9" spans="1:12">
      <c r="A9" s="1"/>
      <c r="B9" s="1"/>
    </row>
    <row r="10" spans="1:12">
      <c r="A10" s="1"/>
      <c r="B10" s="1"/>
    </row>
    <row r="11" spans="1:12">
      <c r="A11" s="1"/>
      <c r="B11" s="1"/>
    </row>
    <row r="12" spans="1:12">
      <c r="A12" s="1"/>
      <c r="B12" s="1"/>
    </row>
    <row r="13" spans="1:12">
      <c r="A13" s="1"/>
      <c r="B13" s="1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DFC5-5A4F-45BF-927B-815BF398CEBB}">
  <dimension ref="B2:S25"/>
  <sheetViews>
    <sheetView showGridLines="0" tabSelected="1" zoomScale="113" zoomScaleNormal="113" workbookViewId="0">
      <selection activeCell="I24" sqref="I24:Q24"/>
    </sheetView>
  </sheetViews>
  <sheetFormatPr defaultRowHeight="14.4"/>
  <cols>
    <col min="2" max="2" width="8.88671875" customWidth="1"/>
    <col min="18" max="18" width="6.77734375" customWidth="1"/>
    <col min="19" max="19" width="22.44140625" customWidth="1"/>
  </cols>
  <sheetData>
    <row r="2" spans="19:19">
      <c r="S2" s="10" t="s">
        <v>6</v>
      </c>
    </row>
    <row r="3" spans="19:19">
      <c r="S3" s="11" t="s">
        <v>16</v>
      </c>
    </row>
    <row r="4" spans="19:19">
      <c r="S4" s="12" t="str" cm="1">
        <f t="array" ref="S4">_xlfn.IFS(
    $S$2="New Payroll Clients",
        IF(
            ISBLANK(_xlfn.XLOOKUP($S$3, 'Payroll Clients Names'!$A$1:$L$1, 'Payroll Clients Names'!$A2:$L2, "", 0, 1)),
            "",
            _xlfn.XLOOKUP($S$3, 'Payroll Clients Names'!$A$1:$L$1, 'Payroll Clients Names'!$A2:$L2, "error", 0, 1)
        ),
    $S$2="New Business Services Clients",
        IF(
            ISBLANK(_xlfn.XLOOKUP($S$3, 'Business Services Clients'!$A$1:$L$1, 'Business Services Clients'!$A2:$L2, "", 0, 1)),
            "",
            _xlfn.XLOOKUP($S$3, 'Business Services Clients'!$A$1:$L$1, 'Business Services Clients'!$A2:$L2, "error", 0, 1)
        )
)</f>
        <v/>
      </c>
    </row>
    <row r="5" spans="19:19">
      <c r="S5" s="12" t="str" cm="1">
        <f t="array" ref="S5">_xlfn.IFS(
    $S$2="New Payroll Clients",
        IF(
            ISBLANK(_xlfn.XLOOKUP($S$3, 'Payroll Clients Names'!$A$1:$L$1, 'Payroll Clients Names'!$A3:$L3, "", 0, 1)),
            "",
            _xlfn.XLOOKUP($S$3, 'Payroll Clients Names'!$A$1:$L$1, 'Payroll Clients Names'!$A3:$L3, "error", 0, 1)
        ),
    $S$2="New Business Services Clients",
        IF(
            ISBLANK(_xlfn.XLOOKUP($S$3, 'Business Services Clients'!$A$1:$L$1, 'Business Services Clients'!$A3:$L3, "", 0, 1)),
            "",
            _xlfn.XLOOKUP($S$3, 'Business Services Clients'!$A$1:$L$1, 'Business Services Clients'!$A3:$L3, "error", 0, 1)
        )
)</f>
        <v/>
      </c>
    </row>
    <row r="6" spans="19:19">
      <c r="S6" s="12" t="str" cm="1">
        <f t="array" ref="S6">_xlfn.IFS(
    $S$2="New Payroll Clients",
        IF(
            ISBLANK(_xlfn.XLOOKUP($S$3, 'Payroll Clients Names'!$A$1:$L$1, 'Payroll Clients Names'!$A4:$L4, "", 0, 1)),
            "",
            _xlfn.XLOOKUP($S$3, 'Payroll Clients Names'!$A$1:$L$1, 'Payroll Clients Names'!$A4:$L4, "error", 0, 1)
        ),
    $S$2="New Business Services Clients",
        IF(
            ISBLANK(_xlfn.XLOOKUP($S$3, 'Business Services Clients'!$A$1:$L$1, 'Business Services Clients'!$A4:$L4, "", 0, 1)),
            "",
            _xlfn.XLOOKUP($S$3, 'Business Services Clients'!$A$1:$L$1, 'Business Services Clients'!$A4:$L4, "error", 0, 1)
        )
)</f>
        <v/>
      </c>
    </row>
    <row r="7" spans="19:19">
      <c r="S7" s="12" t="str" cm="1">
        <f t="array" ref="S7">_xlfn.IFS(
    $S$2="New Payroll Clients",
        IF(
            ISBLANK(_xlfn.XLOOKUP($S$3, 'Payroll Clients Names'!$A$1:$L$1, 'Payroll Clients Names'!$A5:$L5, "", 0, 1)),
            "",
            _xlfn.XLOOKUP($S$3, 'Payroll Clients Names'!$A$1:$L$1, 'Payroll Clients Names'!$A5:$L5, "error", 0, 1)
        ),
    $S$2="New Business Services Clients",
        IF(
            ISBLANK(_xlfn.XLOOKUP($S$3, 'Business Services Clients'!$A$1:$L$1, 'Business Services Clients'!$A5:$L5, "", 0, 1)),
            "",
            _xlfn.XLOOKUP($S$3, 'Business Services Clients'!$A$1:$L$1, 'Business Services Clients'!$A5:$L5, "error", 0, 1)
        )
)</f>
        <v/>
      </c>
    </row>
    <row r="8" spans="19:19">
      <c r="S8" s="12" t="str" cm="1">
        <f t="array" ref="S8">_xlfn.IFS(
    $S$2="New Payroll Clients",
        IF(
            ISBLANK(_xlfn.XLOOKUP($S$3, 'Payroll Clients Names'!$A$1:$L$1, 'Payroll Clients Names'!$A6:$L6, "", 0, 1)),
            "",
            _xlfn.XLOOKUP($S$3, 'Payroll Clients Names'!$A$1:$L$1, 'Payroll Clients Names'!$A6:$L6, "error", 0, 1)
        ),
    $S$2="New Business Services Clients",
        IF(
            ISBLANK(_xlfn.XLOOKUP($S$3, 'Business Services Clients'!$A$1:$L$1, 'Business Services Clients'!$A6:$L6, "", 0, 1)),
            "",
            _xlfn.XLOOKUP($S$3, 'Business Services Clients'!$A$1:$L$1, 'Business Services Clients'!$A6:$L6, "error", 0, 1)
        )
)</f>
        <v/>
      </c>
    </row>
    <row r="9" spans="19:19">
      <c r="S9" s="12" t="str" cm="1">
        <f t="array" ref="S9">_xlfn.IFS(
    $S$2="New Payroll Clients",
        IF(
            ISBLANK(_xlfn.XLOOKUP($S$3, 'Payroll Clients Names'!$A$1:$L$1, 'Payroll Clients Names'!$A7:$L7, "", 0, 1)),
            "",
            _xlfn.XLOOKUP($S$3, 'Payroll Clients Names'!$A$1:$L$1, 'Payroll Clients Names'!$A7:$L7, "error", 0, 1)
        ),
    $S$2="New Business Services Clients",
        IF(
            ISBLANK(_xlfn.XLOOKUP($S$3, 'Business Services Clients'!$A$1:$L$1, 'Business Services Clients'!$A7:$L7, "", 0, 1)),
            "",
            _xlfn.XLOOKUP($S$3, 'Business Services Clients'!$A$1:$L$1, 'Business Services Clients'!$A7:$L7, "error", 0, 1)
        )
)</f>
        <v/>
      </c>
    </row>
    <row r="10" spans="19:19">
      <c r="S10" s="12" t="str" cm="1">
        <f t="array" ref="S10">_xlfn.IFS(
    $S$2="New Payroll Clients",
        IF(
            ISBLANK(_xlfn.XLOOKUP($S$3, 'Payroll Clients Names'!$A$1:$L$1, 'Payroll Clients Names'!$A8:$L8, "", 0, 1)),
            "",
            _xlfn.XLOOKUP($S$3, 'Payroll Clients Names'!$A$1:$L$1, 'Payroll Clients Names'!$A8:$L8, "error", 0, 1)
        ),
    $S$2="New Business Services Clients",
        IF(
            ISBLANK(_xlfn.XLOOKUP($S$3, 'Business Services Clients'!$A$1:$L$1, 'Business Services Clients'!$A8:$L8, "", 0, 1)),
            "",
            _xlfn.XLOOKUP($S$3, 'Business Services Clients'!$A$1:$L$1, 'Business Services Clients'!$A8:$L8, "error", 0, 1)
        )
)</f>
        <v/>
      </c>
    </row>
    <row r="11" spans="19:19">
      <c r="S11" s="12" t="str" cm="1">
        <f t="array" ref="S11">_xlfn.IFS(
    $S$2="New Payroll Clients",
        IF(
            ISBLANK(_xlfn.XLOOKUP($S$3, 'Payroll Clients Names'!$A$1:$L$1, 'Payroll Clients Names'!$A9:$L9, "", 0, 1)),
            "",
            _xlfn.XLOOKUP($S$3, 'Payroll Clients Names'!$A$1:$L$1, 'Payroll Clients Names'!$A9:$L9, "error", 0, 1)
        ),
    $S$2="New Business Services Clients",
        IF(
            ISBLANK(_xlfn.XLOOKUP($S$3, 'Business Services Clients'!$A$1:$L$1, 'Business Services Clients'!$A9:$L9, "", 0, 1)),
            "",
            _xlfn.XLOOKUP($S$3, 'Business Services Clients'!$A$1:$L$1, 'Business Services Clients'!$A9:$L9, "error", 0, 1)
        )
)</f>
        <v/>
      </c>
    </row>
    <row r="12" spans="19:19">
      <c r="S12" s="12" t="str" cm="1">
        <f t="array" ref="S12">_xlfn.IFS(
    $S$2="New Payroll Clients",
        IF(
            ISBLANK(_xlfn.XLOOKUP($S$3, 'Payroll Clients Names'!$A$1:$L$1, 'Payroll Clients Names'!$A10:$L10, "", 0, 1)),
            "",
            _xlfn.XLOOKUP($S$3, 'Payroll Clients Names'!$A$1:$L$1, 'Payroll Clients Names'!$A10:$L10, "error", 0, 1)
        ),
    $S$2="New Business Services Clients",
        IF(
            ISBLANK(_xlfn.XLOOKUP($S$3, 'Business Services Clients'!$A$1:$L$1, 'Business Services Clients'!$A10:$L10, "", 0, 1)),
            "",
            _xlfn.XLOOKUP($S$3, 'Business Services Clients'!$A$1:$L$1, 'Business Services Clients'!$A10:$L10, "error", 0, 1)
        )
)</f>
        <v/>
      </c>
    </row>
    <row r="13" spans="19:19">
      <c r="S13" s="12" t="str" cm="1">
        <f t="array" ref="S13">_xlfn.IFS(
    $S$2="New Payroll Clients",
        IF(
            ISBLANK(_xlfn.XLOOKUP($S$3, 'Payroll Clients Names'!$A$1:$L$1, 'Payroll Clients Names'!$A11:$L11, "", 0, 1)),
            "",
            _xlfn.XLOOKUP($S$3, 'Payroll Clients Names'!$A$1:$L$1, 'Payroll Clients Names'!$A11:$L11, "error", 0, 1)
        ),
    $S$2="New Business Services Clients",
        IF(
            ISBLANK(_xlfn.XLOOKUP($S$3, 'Business Services Clients'!$A$1:$L$1, 'Business Services Clients'!$A11:$L11, "", 0, 1)),
            "",
            _xlfn.XLOOKUP($S$3, 'Business Services Clients'!$A$1:$L$1, 'Business Services Clients'!$A11:$L11, "error", 0, 1)
        )
)</f>
        <v/>
      </c>
    </row>
    <row r="14" spans="19:19">
      <c r="S14" s="12" t="str" cm="1">
        <f t="array" ref="S14">_xlfn.IFS(
    $S$2="New Payroll Clients",
        IF(
            ISBLANK(_xlfn.XLOOKUP($S$3, 'Payroll Clients Names'!$A$1:$L$1, 'Payroll Clients Names'!$A12:$L12, "", 0, 1)),
            "",
            _xlfn.XLOOKUP($S$3, 'Payroll Clients Names'!$A$1:$L$1, 'Payroll Clients Names'!$A12:$L12, "error", 0, 1)
        ),
    $S$2="New Business Services Clients",
        IF(
            ISBLANK(_xlfn.XLOOKUP($S$3, 'Business Services Clients'!$A$1:$L$1, 'Business Services Clients'!$A12:$L12, "", 0, 1)),
            "",
            _xlfn.XLOOKUP($S$3, 'Business Services Clients'!$A$1:$L$1, 'Business Services Clients'!$A12:$L12, "error", 0, 1)
        )
)</f>
        <v/>
      </c>
    </row>
    <row r="15" spans="19:19">
      <c r="S15" s="12" t="str" cm="1">
        <f t="array" ref="S15">_xlfn.IFS(
    $S$2="New Payroll Clients",
        IF(
            ISBLANK(_xlfn.XLOOKUP($S$3, 'Payroll Clients Names'!$A$1:$L$1, 'Payroll Clients Names'!$A13:$L13, "", 0, 1)),
            "",
            _xlfn.XLOOKUP($S$3, 'Payroll Clients Names'!$A$1:$L$1, 'Payroll Clients Names'!$A13:$L13, "error", 0, 1)
        ),
    $S$2="New Business Services Clients",
        IF(
            ISBLANK(_xlfn.XLOOKUP($S$3, 'Business Services Clients'!$A$1:$L$1, 'Business Services Clients'!$A13:$L13, "", 0, 1)),
            "",
            _xlfn.XLOOKUP($S$3, 'Business Services Clients'!$A$1:$L$1, 'Business Services Clients'!$A13:$L13, "error", 0, 1)
        )
)</f>
        <v/>
      </c>
    </row>
    <row r="16" spans="19:19">
      <c r="S16" s="12" t="str" cm="1">
        <f t="array" ref="S16">_xlfn.IFS(
    $S$2="New Payroll Clients",
        IF(
            ISBLANK(_xlfn.XLOOKUP($S$3, 'Payroll Clients Names'!$A$1:$L$1, 'Payroll Clients Names'!$A14:$L14, "", 0, 1)),
            "",
            _xlfn.XLOOKUP($S$3, 'Payroll Clients Names'!$A$1:$L$1, 'Payroll Clients Names'!$A14:$L14, "error", 0, 1)
        ),
    $S$2="New Business Services Clients",
        IF(
            ISBLANK(_xlfn.XLOOKUP($S$3, 'Business Services Clients'!$A$1:$L$1, 'Business Services Clients'!$A14:$L14, "", 0, 1)),
            "",
            _xlfn.XLOOKUP($S$3, 'Business Services Clients'!$A$1:$L$1, 'Business Services Clients'!$A14:$L14, "error", 0, 1)
        )
)</f>
        <v/>
      </c>
    </row>
    <row r="17" spans="2:19">
      <c r="S17" s="12" t="str" cm="1">
        <f t="array" ref="S17">_xlfn.IFS(
    $S$2="New Payroll Clients",
        IF(
            ISBLANK(_xlfn.XLOOKUP($S$3, 'Payroll Clients Names'!$A$1:$L$1, 'Payroll Clients Names'!$A15:$L15, "", 0, 1)),
            "",
            _xlfn.XLOOKUP($S$3, 'Payroll Clients Names'!$A$1:$L$1, 'Payroll Clients Names'!$A15:$L15, "error", 0, 1)
        ),
    $S$2="New Business Services Clients",
        IF(
            ISBLANK(_xlfn.XLOOKUP($S$3, 'Business Services Clients'!$A$1:$L$1, 'Business Services Clients'!$A15:$L15, "", 0, 1)),
            "",
            _xlfn.XLOOKUP($S$3, 'Business Services Clients'!$A$1:$L$1, 'Business Services Clients'!$A15:$L15, "error", 0, 1)
        )
)</f>
        <v/>
      </c>
    </row>
    <row r="18" spans="2:19">
      <c r="S18" s="12" t="str" cm="1">
        <f t="array" ref="S18">_xlfn.IFS(
    $S$2="New Payroll Clients",
        IF(
            ISBLANK(_xlfn.XLOOKUP($S$3, 'Payroll Clients Names'!$A$1:$L$1, 'Payroll Clients Names'!$A16:$L16, "", 0, 1)),
            "",
            _xlfn.XLOOKUP($S$3, 'Payroll Clients Names'!$A$1:$L$1, 'Payroll Clients Names'!$A16:$L16, "error", 0, 1)
        ),
    $S$2="New Business Services Clients",
        IF(
            ISBLANK(_xlfn.XLOOKUP($S$3, 'Business Services Clients'!$A$1:$L$1, 'Business Services Clients'!$A16:$L16, "", 0, 1)),
            "",
            _xlfn.XLOOKUP($S$3, 'Business Services Clients'!$A$1:$L$1, 'Business Services Clients'!$A16:$L16, "error", 0, 1)
        )
)</f>
        <v/>
      </c>
    </row>
    <row r="19" spans="2:19">
      <c r="S19" s="12" t="str" cm="1">
        <f t="array" ref="S19">_xlfn.IFS(
    $S$2="New Payroll Clients",
        IF(
            ISBLANK(_xlfn.XLOOKUP($S$3, 'Payroll Clients Names'!$A$1:$L$1, 'Payroll Clients Names'!$A17:$L17, "", 0, 1)),
            "",
            _xlfn.XLOOKUP($S$3, 'Payroll Clients Names'!$A$1:$L$1, 'Payroll Clients Names'!$A17:$L17, "error", 0, 1)
        ),
    $S$2="New Business Services Clients",
        IF(
            ISBLANK(_xlfn.XLOOKUP($S$3, 'Business Services Clients'!$A$1:$L$1, 'Business Services Clients'!$A17:$L17, "", 0, 1)),
            "",
            _xlfn.XLOOKUP($S$3, 'Business Services Clients'!$A$1:$L$1, 'Business Services Clients'!$A17:$L17, "error", 0, 1)
        )
)</f>
        <v/>
      </c>
    </row>
    <row r="20" spans="2:19">
      <c r="B20" s="18" t="s">
        <v>27</v>
      </c>
      <c r="C20" s="18"/>
      <c r="D20" s="17" t="s">
        <v>5</v>
      </c>
      <c r="E20" s="17"/>
      <c r="F20" s="17"/>
      <c r="G20" s="17"/>
      <c r="S20" s="12" t="str" cm="1">
        <f t="array" ref="S20">_xlfn.IFS(
    $S$2="New Payroll Clients",
        IF(
            ISBLANK(_xlfn.XLOOKUP($S$3, 'Payroll Clients Names'!$A$1:$L$1, 'Payroll Clients Names'!$A18:$L18, "", 0, 1)),
            "",
            _xlfn.XLOOKUP($S$3, 'Payroll Clients Names'!$A$1:$L$1, 'Payroll Clients Names'!$A18:$L18, "error", 0, 1)
        ),
    $S$2="New Business Services Clients",
        IF(
            ISBLANK(_xlfn.XLOOKUP($S$3, 'Business Services Clients'!$A$1:$L$1, 'Business Services Clients'!$A18:$L18, "", 0, 1)),
            "",
            _xlfn.XLOOKUP($S$3, 'Business Services Clients'!$A$1:$L$1, 'Business Services Clients'!$A18:$L18, "error", 0, 1)
        )
)</f>
        <v/>
      </c>
    </row>
    <row r="21" spans="2:19">
      <c r="B21" s="14" t="s">
        <v>24</v>
      </c>
      <c r="C21" s="14"/>
      <c r="D21" s="14" t="s">
        <v>25</v>
      </c>
      <c r="E21" s="14"/>
      <c r="F21" s="14" t="s">
        <v>26</v>
      </c>
      <c r="G21" s="14"/>
      <c r="S21" s="12" t="str" cm="1">
        <f t="array" ref="S21">_xlfn.IFS(
    $S$2="New Payroll Clients",
        IF(
            ISBLANK(_xlfn.XLOOKUP($S$3, 'Payroll Clients Names'!$A$1:$L$1, 'Payroll Clients Names'!$A19:$L19, "", 0, 1)),
            "",
            _xlfn.XLOOKUP($S$3, 'Payroll Clients Names'!$A$1:$L$1, 'Payroll Clients Names'!$A19:$L19, "error", 0, 1)
        ),
    $S$2="New Business Services Clients",
        IF(
            ISBLANK(_xlfn.XLOOKUP($S$3, 'Business Services Clients'!$A$1:$L$1, 'Business Services Clients'!$A19:$L19, "", 0, 1)),
            "",
            _xlfn.XLOOKUP($S$3, 'Business Services Clients'!$A$1:$L$1, 'Business Services Clients'!$A19:$L19, "error", 0, 1)
        )
)</f>
        <v/>
      </c>
    </row>
    <row r="22" spans="2:19">
      <c r="B22" s="15">
        <f>_xlfn.XLOOKUP(D20,'Dashboard.xlsx - Data'!A4:A10,'Dashboard.xlsx - Data'!B4:B10,"invalid input",0,1)</f>
        <v>9</v>
      </c>
      <c r="C22" s="15"/>
      <c r="D22" s="15">
        <f>_xlfn.XLOOKUP(D20,'Dashboard.xlsx - Data'!A4:A10,'Dashboard.xlsx - Data'!C4:C10,"invalid input",0,1)</f>
        <v>10</v>
      </c>
      <c r="E22" s="15"/>
      <c r="F22" s="16">
        <f>_xlfn.XLOOKUP(D20,'Dashboard.xlsx - Data'!A4:A10,'Dashboard.xlsx - Data'!D4:D10,"invalid input",0,1)</f>
        <v>0.9</v>
      </c>
      <c r="G22" s="16"/>
      <c r="S22" s="12" t="str" cm="1">
        <f t="array" ref="S22">_xlfn.IFS(
    $S$2="New Payroll Clients",
        IF(
            ISBLANK(_xlfn.XLOOKUP($S$3, 'Payroll Clients Names'!$A$1:$L$1, 'Payroll Clients Names'!$A20:$L20, "", 0, 1)),
            "",
            _xlfn.XLOOKUP($S$3, 'Payroll Clients Names'!$A$1:$L$1, 'Payroll Clients Names'!$A20:$L20, "error", 0, 1)
        ),
    $S$2="New Business Services Clients",
        IF(
            ISBLANK(_xlfn.XLOOKUP($S$3, 'Business Services Clients'!$A$1:$L$1, 'Business Services Clients'!$A20:$L20, "", 0, 1)),
            "",
            _xlfn.XLOOKUP($S$3, 'Business Services Clients'!$A$1:$L$1, 'Business Services Clients'!$A20:$L20, "error", 0, 1)
        )
)</f>
        <v/>
      </c>
    </row>
    <row r="23" spans="2:19">
      <c r="B23" s="15"/>
      <c r="C23" s="15"/>
      <c r="D23" s="15"/>
      <c r="E23" s="15"/>
      <c r="F23" s="16"/>
      <c r="G23" s="16"/>
      <c r="S23" s="12" t="str" cm="1">
        <f t="array" ref="S23">_xlfn.IFS(
    $S$2="New Payroll Clients",
        IF(
            ISBLANK(_xlfn.XLOOKUP($S$3, 'Payroll Clients Names'!$A$1:$L$1, 'Payroll Clients Names'!$A21:$L21, "", 0, 1)),
            "",
            _xlfn.XLOOKUP($S$3, 'Payroll Clients Names'!$A$1:$L$1, 'Payroll Clients Names'!$A21:$L21, "error", 0, 1)
        ),
    $S$2="New Business Services Clients",
        IF(
            ISBLANK(_xlfn.XLOOKUP($S$3, 'Business Services Clients'!$A$1:$L$1, 'Business Services Clients'!$A21:$L21, "", 0, 1)),
            "",
            _xlfn.XLOOKUP($S$3, 'Business Services Clients'!$A$1:$L$1, 'Business Services Clients'!$A21:$L21, "error", 0, 1)
        )
)</f>
        <v/>
      </c>
    </row>
    <row r="24" spans="2:19">
      <c r="I24" s="19" t="s">
        <v>40</v>
      </c>
      <c r="J24" s="19"/>
      <c r="K24" s="19"/>
      <c r="L24" s="19"/>
      <c r="M24" s="19"/>
      <c r="N24" s="19"/>
      <c r="O24" s="19"/>
      <c r="P24" s="19"/>
      <c r="Q24" s="19"/>
      <c r="S24" s="9"/>
    </row>
    <row r="25" spans="2:19">
      <c r="S25" s="13" t="str" cm="1">
        <f t="array" ref="S25">_xlfn.IFS(
    S2="New Business Services Clients", "Total " &amp; " " &amp; _xlfn.XLOOKUP(Dashboard!S3,'Dashboard.xlsx - Data'!A13:A24,'Dashboard.xlsx - Data'!D13:D24,"error",0,1),
    S2="New Payroll Clients", "Total " &amp; " " &amp; _xlfn.XLOOKUP(Dashboard!S3,'Dashboard.xlsx - Data'!A13:A24,'Dashboard.xlsx - Data'!C13:C24,"error",0,1),
    S2="No. of Google Reviews", "Total " &amp; " " &amp; _xlfn.XLOOKUP(Dashboard!S3,'Dashboard.xlsx - Data'!A13:A24,'Dashboard.xlsx - Data'!B13:B24,"error",0,1)
)</f>
        <v>Total  0</v>
      </c>
    </row>
  </sheetData>
  <sheetProtection algorithmName="SHA-512" hashValue="YzmM4V9AvccDVbKMTiTnGVw4qJ55iB6+GqG629viI3v/bLf2eaLQYLIRl2J9NAA3ksWyJ1CirR+HPSNUCigrIA==" saltValue="vvCEVJYRrALCtQcJAVfkNw==" spinCount="100000" sheet="1" objects="1" scenarios="1"/>
  <mergeCells count="9">
    <mergeCell ref="I24:Q24"/>
    <mergeCell ref="F21:G21"/>
    <mergeCell ref="D22:E23"/>
    <mergeCell ref="F22:G23"/>
    <mergeCell ref="D20:G20"/>
    <mergeCell ref="B22:C23"/>
    <mergeCell ref="B20:C20"/>
    <mergeCell ref="B21:C21"/>
    <mergeCell ref="D21:E21"/>
  </mergeCells>
  <conditionalFormatting sqref="F22:G23">
    <cfRule type="dataBar" priority="1">
      <dataBar>
        <cfvo type="num" val="0"/>
        <cfvo type="num" val="1"/>
        <color rgb="FF5E8AA2"/>
      </dataBar>
      <extLst>
        <ext xmlns:x14="http://schemas.microsoft.com/office/spreadsheetml/2009/9/main" uri="{B025F937-C7B1-47D3-B67F-A62EFF666E3E}">
          <x14:id>{68CF02A7-B340-43F1-8DF3-972928F1357C}</x14:id>
        </ext>
      </extLst>
    </cfRule>
    <cfRule type="dataBar" priority="2">
      <dataBar>
        <cfvo type="num" val="0"/>
        <cfvo type="num" val="1"/>
        <color rgb="FF608CA4"/>
      </dataBar>
      <extLst>
        <ext xmlns:x14="http://schemas.microsoft.com/office/spreadsheetml/2009/9/main" uri="{B025F937-C7B1-47D3-B67F-A62EFF666E3E}">
          <x14:id>{EFA26AB5-891E-470F-9065-988F8F39BCFA}</x14:id>
        </ext>
      </extLst>
    </cfRule>
    <cfRule type="dataBar" priority="3">
      <dataBar>
        <cfvo type="num" val="0"/>
        <cfvo type="num" val="1"/>
        <color rgb="FF3C5868"/>
      </dataBar>
      <extLst>
        <ext xmlns:x14="http://schemas.microsoft.com/office/spreadsheetml/2009/9/main" uri="{B025F937-C7B1-47D3-B67F-A62EFF666E3E}">
          <x14:id>{54F8755C-7121-43C2-BCD2-726C889602E7}</x14:id>
        </ext>
      </extLst>
    </cfRule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{91A5F534-E430-43BE-A59D-BFBB2597F48D}</x14:id>
        </ext>
      </extLst>
    </cfRule>
    <cfRule type="dataBar" priority="6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{AF3706B7-8108-483A-A8C1-C50F5C58BE40}</x14:id>
        </ext>
      </extLst>
    </cfRule>
    <cfRule type="dataBar" priority="7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{C1EFE11B-70A2-466D-8FDF-CBE2B9E83E75}</x14:id>
        </ext>
      </extLst>
    </cfRule>
    <cfRule type="dataBar" priority="8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{774F8669-0693-416F-80C5-0F0E0DE83EEF}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{B7154D02-C068-4FF3-AD6D-965ABF8CAA9D}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CF02A7-B340-43F1-8DF3-972928F135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FA26AB5-891E-470F-9065-988F8F39BCF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F8755C-7121-43C2-BCD2-726C889602E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A5F534-E430-43BE-A59D-BFBB2597F48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706B7-8108-483A-A8C1-C50F5C58BE40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C1EFE11B-70A2-466D-8FDF-CBE2B9E83E75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774F8669-0693-416F-80C5-0F0E0DE83EEF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7154D02-C068-4FF3-AD6D-965ABF8CAA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F22:G23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8E8A9C81-3C22-4417-A944-B53470CEA259}">
          <x14:formula1>
            <xm:f>'Dashboard.xlsx - Data'!$A$4:$A$10</xm:f>
          </x14:formula1>
          <xm:sqref>D20</xm:sqref>
        </x14:dataValidation>
        <x14:dataValidation type="list" allowBlank="1" showInputMessage="1" showErrorMessage="1" xr:uid="{DC9D8864-E122-4741-928A-932635A349E6}">
          <x14:formula1>
            <xm:f>'Dashboard.xlsx - Data'!$A$28:$A$29</xm:f>
          </x14:formula1>
          <xm:sqref>S2</xm:sqref>
        </x14:dataValidation>
        <x14:dataValidation type="list" allowBlank="1" showInputMessage="1" showErrorMessage="1" xr:uid="{BF65AE65-83A3-4537-B037-31B2319EB0FD}">
          <x14:formula1>
            <xm:f>'Payroll Clients Names'!$A$1:$L$1</xm:f>
          </x14:formula1>
          <xm:sqref>S3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499F51D2D4C44E9F5FE5FF3E3C0325" ma:contentTypeVersion="17" ma:contentTypeDescription="Create a new document." ma:contentTypeScope="" ma:versionID="ccc319093199573b9d7f48b8fe3a8145">
  <xsd:schema xmlns:xsd="http://www.w3.org/2001/XMLSchema" xmlns:xs="http://www.w3.org/2001/XMLSchema" xmlns:p="http://schemas.microsoft.com/office/2006/metadata/properties" xmlns:ns3="283920c9-4567-497a-9337-cd8d3f15eb24" xmlns:ns4="c45f32f0-7079-42ce-b795-8a247cb6dbb8" targetNamespace="http://schemas.microsoft.com/office/2006/metadata/properties" ma:root="true" ma:fieldsID="8351b91adc4ad1f3943d4b4ae0c96977" ns3:_="" ns4:_="">
    <xsd:import namespace="283920c9-4567-497a-9337-cd8d3f15eb24"/>
    <xsd:import namespace="c45f32f0-7079-42ce-b795-8a247cb6db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920c9-4567-497a-9337-cd8d3f15eb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f32f0-7079-42ce-b795-8a247cb6dbb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3920c9-4567-497a-9337-cd8d3f15eb24" xsi:nil="true"/>
  </documentManagement>
</p:properties>
</file>

<file path=customXml/itemProps1.xml><?xml version="1.0" encoding="utf-8"?>
<ds:datastoreItem xmlns:ds="http://schemas.openxmlformats.org/officeDocument/2006/customXml" ds:itemID="{87CD95BF-0728-4538-B0D0-F3E2407B0FA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83920c9-4567-497a-9337-cd8d3f15eb24"/>
    <ds:schemaRef ds:uri="c45f32f0-7079-42ce-b795-8a247cb6dbb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62B649-88EB-43CC-9260-5ED3B0BA9E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DEA96D-FBFF-4D93-9E00-261C4752DAE6}">
  <ds:schemaRefs>
    <ds:schemaRef ds:uri="http://schemas.microsoft.com/office/2006/metadata/properties"/>
    <ds:schemaRef ds:uri="http://www.w3.org/2000/xmlns/"/>
    <ds:schemaRef ds:uri="283920c9-4567-497a-9337-cd8d3f15eb24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Dashboard.xlsx - Data</vt:lpstr>
      <vt:lpstr>Payroll Clients Names</vt:lpstr>
      <vt:lpstr>Business Services Clients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Harrenn</dc:creator>
  <cp:lastModifiedBy>Harrenn</cp:lastModifiedBy>
  <dcterms:created xsi:type="dcterms:W3CDTF">2024-08-01T19:29:51Z</dcterms:created>
  <dcterms:modified xsi:type="dcterms:W3CDTF">2024-08-06T22:53:12Z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0x0101004C499F51D2D4C44E9F5FE5FF3E3C0325</vt:lpwstr>
  </property>
</Properties>
</file>